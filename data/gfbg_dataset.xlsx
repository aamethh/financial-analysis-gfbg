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th\Desktop\Analisis financieros\fondos\"/>
    </mc:Choice>
  </mc:AlternateContent>
  <xr:revisionPtr revIDLastSave="0" documentId="8_{086C2724-C8B3-4400-BCC1-79EC5266D92B}" xr6:coauthVersionLast="47" xr6:coauthVersionMax="47" xr10:uidLastSave="{00000000-0000-0000-0000-000000000000}"/>
  <bookViews>
    <workbookView xWindow="-108" yWindow="-108" windowWidth="23256" windowHeight="12456" activeTab="2" xr2:uid="{86954EAE-6ADC-4057-B478-4720A1B347DE}"/>
  </bookViews>
  <sheets>
    <sheet name="financials" sheetId="1" r:id="rId1"/>
    <sheet name="ratios" sheetId="2" r:id="rId2"/>
    <sheet name="insigh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<sst xmlns="http://schemas.openxmlformats.org/spreadsheetml/2006/main" count="37" uniqueCount="37">
  <si>
    <t>Métrica</t>
  </si>
  <si>
    <t>YoY</t>
  </si>
  <si>
    <t>Activos totales</t>
  </si>
  <si>
    <t>Préstamos brutos</t>
  </si>
  <si>
    <t>Inversiones</t>
  </si>
  <si>
    <t>Depósitos</t>
  </si>
  <si>
    <t>Patrimonio</t>
  </si>
  <si>
    <t>Utilidad neta</t>
  </si>
  <si>
    <t>AUM</t>
  </si>
  <si>
    <t>2023</t>
  </si>
  <si>
    <t>2024</t>
  </si>
  <si>
    <t>2025</t>
  </si>
  <si>
    <t>KPI</t>
  </si>
  <si>
    <t>Valor</t>
  </si>
  <si>
    <t>ROAE</t>
  </si>
  <si>
    <t>ROAA</t>
  </si>
  <si>
    <t>NIM</t>
  </si>
  <si>
    <t>Efficiency</t>
  </si>
  <si>
    <t>Capital ratio</t>
  </si>
  <si>
    <t>NPL ratio</t>
  </si>
  <si>
    <t>NPL coverage</t>
  </si>
  <si>
    <t>Tipo</t>
  </si>
  <si>
    <t>Insight</t>
  </si>
  <si>
    <t>Core Thesis</t>
  </si>
  <si>
    <t>GFBG está evolucionando de banco tradicional hacia una plataforma de asignación de capital impulsada por AUM</t>
  </si>
  <si>
    <t>Growth Driver</t>
  </si>
  <si>
    <t>El crecimiento de AUM (+20.9%) supera el crecimiento de préstamos (+4.1%), indicando cambio estructural del modelo</t>
  </si>
  <si>
    <t>Profitability</t>
  </si>
  <si>
    <t>ROAE de 21.2% con eficiencia de 28.1% posiciona a GFBG como top-tier en LatAm</t>
  </si>
  <si>
    <t>Risk</t>
  </si>
  <si>
    <t>La cobertura de NPL cayó de 152.6% a 124.3%, señal de riesgo moderado a monitorear</t>
  </si>
  <si>
    <t>Strategic Positioning</t>
  </si>
  <si>
    <t>Ecosistema integrado (banca, seguros, pensiones, pagos digitales) crea barreras de entrada y diversificación</t>
  </si>
  <si>
    <t>Catalyst</t>
  </si>
  <si>
    <t>Expansión regional (Yappy, gestión de activos) puede acelerar crecimiento fuera del core bancario</t>
  </si>
  <si>
    <t>Conclusion</t>
  </si>
  <si>
    <t>El valor no está solo en el balance, sino en su capacidad de escalar como plataforma financiera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</si>
</sst>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0.0%"/>
    <numFmt numFmtId="17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2" applyFont="1" applyAlignment="1">
      <alignment vertical="center" wrapText="1"/>
    </xf>
    <xf numFmtId="175" fontId="0" fillId="0" borderId="0" xfId="1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9" fontId="0" fillId="0" borderId="0" xfId="0" applyNumberFormat="1" applyAlignment="1">
      <alignment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5" formatCode="_(* #,##0_);_(* \(#,##0\);_(* &quot;-&quot;??_);_(@_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5" formatCode="_(* #,##0_);_(* \(#,##0\);_(* &quot;-&quot;??_);_(@_)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B4910-3B3D-418D-AA45-7B102B66B066}" name="financials" displayName="financials" ref="A1:E8" totalsRowShown="0" headerRowDxfId="12" dataDxfId="13">
  <autoFilter ref="A1:E8" xr:uid="{187B4910-3B3D-418D-AA45-7B102B66B066}"/>
  <tableColumns count="5">
    <tableColumn id="1" xr3:uid="{A91F898C-BAFA-4FE5-BA0F-E28E47E70D2B}" name="Métrica" dataDxfId="7"/>
    <tableColumn id="2" xr3:uid="{673D509C-3094-4ADB-A455-A6772EDCCD18}" name="2023" dataDxfId="8" dataCellStyle="Millares"/>
    <tableColumn id="3" xr3:uid="{6E67266D-235F-4BBE-B21C-48FA10ED52D1}" name="2024" dataDxfId="11" dataCellStyle="Millares"/>
    <tableColumn id="4" xr3:uid="{1BEC6CAF-8F2A-41E7-863C-ED3107FF2682}" name="2025" dataDxfId="9" dataCellStyle="Millares"/>
    <tableColumn id="5" xr3:uid="{6D87772C-A080-41DE-BC95-495E02CC7F71}" name="YoY" dataDxfId="10" dataCellStyle="Porcentaje">
      <calculatedColumnFormula>(D2-C2)/C2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70D5F6-D2A9-428F-8EE0-C92676FFA05B}" name="Ratios" displayName="Ratios" ref="A1:B8" totalsRowShown="0" headerRowDxfId="6">
  <autoFilter ref="A1:B8" xr:uid="{C170D5F6-D2A9-428F-8EE0-C92676FFA05B}"/>
  <tableColumns count="2">
    <tableColumn id="1" xr3:uid="{4472A50D-CC94-4EF9-A249-798857452F63}" name="KPI" dataDxfId="4"/>
    <tableColumn id="2" xr3:uid="{29A35D9D-8B57-4167-89EA-B032EE85FF97}" name="Valor" dataDxfId="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4382B6-AD92-4ED0-BA96-69A07D70E423}" name="insights" displayName="insights" ref="A1:B8" totalsRowShown="0" headerRowDxfId="0" dataDxfId="1">
  <autoFilter ref="A1:B8" xr:uid="{374382B6-AD92-4ED0-BA96-69A07D70E423}"/>
  <tableColumns count="2">
    <tableColumn id="1" xr3:uid="{EC73A5CA-0C97-4E39-92D5-366AC533946D}" name="Tipo" dataDxfId="3"/>
    <tableColumn id="2" xr3:uid="{3A8E4048-71D5-42B8-9E23-E6A19F380E45}" name="Insight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9587-E1FE-49D6-8AF3-CD1F54D11481}">
  <dimension ref="A1:E8"/>
  <sheetViews>
    <sheetView workbookViewId="0">
      <selection activeCell="C20" sqref="C20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</v>
      </c>
    </row>
    <row r="2" spans="1:5" ht="28.8" x14ac:dyDescent="0.3">
      <c r="A2" s="5" t="s">
        <v>2</v>
      </c>
      <c r="B2" s="4">
        <v>18951</v>
      </c>
      <c r="C2" s="4">
        <v>19666</v>
      </c>
      <c r="D2" s="4">
        <v>21098</v>
      </c>
      <c r="E2" s="3">
        <f t="shared" ref="E2:E8" si="0">(D2-C2)/C2</f>
        <v>7.2816027661954649E-2</v>
      </c>
    </row>
    <row r="3" spans="1:5" ht="28.8" x14ac:dyDescent="0.3">
      <c r="A3" s="5" t="s">
        <v>3</v>
      </c>
      <c r="B3" s="4">
        <v>11975</v>
      </c>
      <c r="C3" s="4">
        <v>12762</v>
      </c>
      <c r="D3" s="4">
        <v>13289</v>
      </c>
      <c r="E3" s="3">
        <f t="shared" si="0"/>
        <v>4.1294467951731702E-2</v>
      </c>
    </row>
    <row r="4" spans="1:5" x14ac:dyDescent="0.3">
      <c r="A4" s="5" t="s">
        <v>4</v>
      </c>
      <c r="B4" s="4">
        <v>5125</v>
      </c>
      <c r="C4" s="4">
        <v>5350</v>
      </c>
      <c r="D4" s="4">
        <v>5970</v>
      </c>
      <c r="E4" s="3">
        <f t="shared" si="0"/>
        <v>0.11588785046728972</v>
      </c>
    </row>
    <row r="5" spans="1:5" x14ac:dyDescent="0.3">
      <c r="A5" s="5" t="s">
        <v>5</v>
      </c>
      <c r="B5" s="4">
        <v>12600</v>
      </c>
      <c r="C5" s="4">
        <v>13573</v>
      </c>
      <c r="D5" s="4">
        <v>14597</v>
      </c>
      <c r="E5" s="3">
        <f t="shared" si="0"/>
        <v>7.5443895969940319E-2</v>
      </c>
    </row>
    <row r="6" spans="1:5" x14ac:dyDescent="0.3">
      <c r="A6" s="5" t="s">
        <v>6</v>
      </c>
      <c r="B6" s="4">
        <v>3424</v>
      </c>
      <c r="C6" s="4">
        <v>3697</v>
      </c>
      <c r="D6" s="4">
        <v>4069</v>
      </c>
      <c r="E6" s="3">
        <f t="shared" si="0"/>
        <v>0.10062212604814715</v>
      </c>
    </row>
    <row r="7" spans="1:5" ht="28.8" x14ac:dyDescent="0.3">
      <c r="A7" s="5" t="s">
        <v>7</v>
      </c>
      <c r="B7" s="4">
        <v>692</v>
      </c>
      <c r="C7" s="4">
        <v>798</v>
      </c>
      <c r="D7" s="4">
        <v>845</v>
      </c>
      <c r="E7" s="3">
        <f t="shared" si="0"/>
        <v>5.889724310776942E-2</v>
      </c>
    </row>
    <row r="8" spans="1:5" x14ac:dyDescent="0.3">
      <c r="A8" s="5" t="s">
        <v>8</v>
      </c>
      <c r="B8" s="4">
        <v>14447</v>
      </c>
      <c r="C8" s="4">
        <v>16423</v>
      </c>
      <c r="D8" s="4">
        <v>19854</v>
      </c>
      <c r="E8" s="3">
        <f t="shared" si="0"/>
        <v>0.20891432746757596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4269-8F43-4217-BCFC-D6241F02B876}">
  <dimension ref="A1:B8"/>
  <sheetViews>
    <sheetView workbookViewId="0">
      <selection activeCell="F10" sqref="F10"/>
    </sheetView>
  </sheetViews>
  <sheetFormatPr baseColWidth="10"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s="5" t="s">
        <v>14</v>
      </c>
      <c r="B2" s="6">
        <v>0.21199999999999999</v>
      </c>
    </row>
    <row r="3" spans="1:2" x14ac:dyDescent="0.3">
      <c r="A3" s="5" t="s">
        <v>15</v>
      </c>
      <c r="B3" s="6">
        <v>4.1500000000000002E-2</v>
      </c>
    </row>
    <row r="4" spans="1:2" x14ac:dyDescent="0.3">
      <c r="A4" s="5" t="s">
        <v>16</v>
      </c>
      <c r="B4" s="6">
        <v>5.1900000000000002E-2</v>
      </c>
    </row>
    <row r="5" spans="1:2" x14ac:dyDescent="0.3">
      <c r="A5" s="5" t="s">
        <v>17</v>
      </c>
      <c r="B5" s="6">
        <v>0.28100000000000003</v>
      </c>
    </row>
    <row r="6" spans="1:2" x14ac:dyDescent="0.3">
      <c r="A6" s="5" t="s">
        <v>18</v>
      </c>
      <c r="B6" s="6">
        <v>0.27200000000000002</v>
      </c>
    </row>
    <row r="7" spans="1:2" x14ac:dyDescent="0.3">
      <c r="A7" s="5" t="s">
        <v>19</v>
      </c>
      <c r="B7" s="6">
        <v>2.0899999999999998E-2</v>
      </c>
    </row>
    <row r="8" spans="1:2" ht="28.8" x14ac:dyDescent="0.3">
      <c r="A8" s="5" t="s">
        <v>20</v>
      </c>
      <c r="B8" s="6">
        <v>1.2430000000000001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36BA-067D-4426-820D-6C1C0402E236}">
  <dimension ref="A1:B8"/>
  <sheetViews>
    <sheetView tabSelected="1" workbookViewId="0">
      <selection sqref="A1:B1"/>
    </sheetView>
  </sheetViews>
  <sheetFormatPr baseColWidth="10" defaultRowHeight="14.4" x14ac:dyDescent="0.3"/>
  <cols>
    <col min="2" max="2" width="53.21875" customWidth="1"/>
  </cols>
  <sheetData>
    <row r="1" spans="1:2" x14ac:dyDescent="0.3">
      <c r="A1" s="1" t="s">
        <v>21</v>
      </c>
      <c r="B1" s="1" t="s">
        <v>22</v>
      </c>
    </row>
    <row r="2" spans="1:2" ht="49.2" customHeight="1" x14ac:dyDescent="0.3">
      <c r="A2" s="2" t="s">
        <v>23</v>
      </c>
      <c r="B2" s="2" t="s">
        <v>24</v>
      </c>
    </row>
    <row r="3" spans="1:2" ht="58.2" customHeight="1" x14ac:dyDescent="0.3">
      <c r="A3" s="2" t="s">
        <v>25</v>
      </c>
      <c r="B3" s="2" t="s">
        <v>26</v>
      </c>
    </row>
    <row r="4" spans="1:2" ht="40.799999999999997" customHeight="1" x14ac:dyDescent="0.3">
      <c r="A4" s="2" t="s">
        <v>27</v>
      </c>
      <c r="B4" s="2" t="s">
        <v>28</v>
      </c>
    </row>
    <row r="5" spans="1:2" ht="42" customHeight="1" x14ac:dyDescent="0.3">
      <c r="A5" s="2" t="s">
        <v>29</v>
      </c>
      <c r="B5" s="2" t="s">
        <v>30</v>
      </c>
    </row>
    <row r="6" spans="1:2" ht="47.4" customHeight="1" x14ac:dyDescent="0.3">
      <c r="A6" s="2" t="s">
        <v>31</v>
      </c>
      <c r="B6" s="2" t="s">
        <v>32</v>
      </c>
    </row>
    <row r="7" spans="1:2" ht="34.799999999999997" customHeight="1" x14ac:dyDescent="0.3">
      <c r="A7" s="2" t="s">
        <v>33</v>
      </c>
      <c r="B7" s="2" t="s">
        <v>34</v>
      </c>
    </row>
    <row r="8" spans="1:2" ht="38.4" customHeight="1" x14ac:dyDescent="0.3">
      <c r="A8" s="2" t="s">
        <v>35</v>
      </c>
      <c r="B8" s="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financials</vt:lpstr>
      <vt:lpstr>ratios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ameth espinosa</dc:creator>
  <cp:lastModifiedBy>ameth espinosa</cp:lastModifiedBy>
  <dcterms:created xsi:type="dcterms:W3CDTF">2026-04-20T18:59:36Z</dcterms:created>
  <dcterms:modified xsi:type="dcterms:W3CDTF">2026-04-20T19:36:12Z</dcterms:modified>
</cp:coreProperties>
</file>